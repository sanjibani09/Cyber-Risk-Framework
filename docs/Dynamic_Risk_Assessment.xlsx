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t="inlineStr">
        <is>
          <t>ID</t>
        </is>
      </c>
      <c r="B1" t="inlineStr">
        <is>
          <t>Asset</t>
        </is>
      </c>
      <c r="C1" t="inlineStr">
        <is>
          <t>Threat</t>
        </is>
      </c>
      <c r="D1" t="inlineStr">
        <is>
          <t>Vulnerability</t>
        </is>
      </c>
      <c r="E1" t="inlineStr">
        <is>
          <t>Likelihood</t>
        </is>
      </c>
      <c r="F1" t="inlineStr">
        <is>
          <t>Impact</t>
        </is>
      </c>
      <c r="G1" t="inlineStr">
        <is>
          <t>RawRisk</t>
        </is>
      </c>
      <c r="H1" t="inlineStr">
        <is>
          <t>ExistingControls</t>
        </is>
      </c>
      <c r="I1" t="inlineStr">
        <is>
          <t>ControlsEffectiveness</t>
        </is>
      </c>
      <c r="J1" t="inlineStr">
        <is>
          <t>ResidualRisk</t>
        </is>
      </c>
      <c r="K1" t="inlineStr">
        <is>
          <t>RecommendedAction</t>
        </is>
      </c>
      <c r="L1" t="inlineStr">
        <is>
          <t>Priority</t>
        </is>
      </c>
      <c r="M1" t="inlineStr">
        <is>
          <t>Status</t>
        </is>
      </c>
      <c r="N1" t="inlineStr">
        <is>
          <t>Owner</t>
        </is>
      </c>
      <c r="O1" t="inlineStr">
        <is>
          <t>TargetDate</t>
        </is>
      </c>
      <c r="P1" t="inlineStr">
        <is>
          <t>Notes</t>
        </is>
      </c>
    </row>
    <row r="2">
      <c r="A2" t="n">
        <v>1</v>
      </c>
      <c r="B2" t="inlineStr">
        <is>
          <t>POS System / Email</t>
        </is>
      </c>
      <c r="C2" t="inlineStr">
        <is>
          <t>Unauthorized Access</t>
        </is>
      </c>
      <c r="D2" t="inlineStr">
        <is>
          <t>Shared staff accounts</t>
        </is>
      </c>
      <c r="E2" t="inlineStr">
        <is>
          <t>3 - Likely</t>
        </is>
      </c>
      <c r="F2" t="inlineStr">
        <is>
          <t>3 - High</t>
        </is>
      </c>
      <c r="G2">
        <f>VALUE(LEFT(E2,1))*VALUE(LEFT(F2,1))</f>
        <v/>
      </c>
      <c r="H2" t="inlineStr">
        <is>
          <t>None</t>
        </is>
      </c>
      <c r="I2" t="n">
        <v>0</v>
      </c>
      <c r="J2">
        <f>G2*(1-H2)</f>
        <v/>
      </c>
      <c r="K2" t="inlineStr">
        <is>
          <t>Create separate user accounts for staff</t>
        </is>
      </c>
      <c r="L2" t="inlineStr"/>
      <c r="M2" t="inlineStr">
        <is>
          <t>Not Started</t>
        </is>
      </c>
      <c r="N2" t="inlineStr">
        <is>
          <t>owner</t>
        </is>
      </c>
      <c r="O2" t="inlineStr"/>
      <c r="P2" t="inlineStr">
        <is>
          <t>Example</t>
        </is>
      </c>
    </row>
    <row r="3">
      <c r="A3" t="n">
        <v>2</v>
      </c>
      <c r="B3" t="inlineStr">
        <is>
          <t>POS System</t>
        </is>
      </c>
      <c r="C3" t="inlineStr">
        <is>
          <t>Ransomware</t>
        </is>
      </c>
      <c r="D3" t="inlineStr">
        <is>
          <t>Outdated software</t>
        </is>
      </c>
      <c r="E3" t="inlineStr">
        <is>
          <t>3 - Likely</t>
        </is>
      </c>
      <c r="F3" t="inlineStr">
        <is>
          <t>4 - Critical</t>
        </is>
      </c>
      <c r="G3">
        <f>VALUE(LEFT(E3,1))*VALUE(LEFT(F3,1))</f>
        <v/>
      </c>
      <c r="H3" t="inlineStr">
        <is>
          <t>Basic AV</t>
        </is>
      </c>
      <c r="I3" t="n">
        <v>0.1</v>
      </c>
      <c r="J3">
        <f>G3*(1-H3)</f>
        <v/>
      </c>
      <c r="K3" t="inlineStr">
        <is>
          <t>Patch POS; backups</t>
        </is>
      </c>
      <c r="L3" t="inlineStr">
        <is>
          <t>High</t>
        </is>
      </c>
      <c r="M3" t="inlineStr">
        <is>
          <t>Not Started</t>
        </is>
      </c>
      <c r="N3" t="inlineStr">
        <is>
          <t>IT Support</t>
        </is>
      </c>
      <c r="O3" t="inlineStr"/>
      <c r="P3" t="inlineStr"/>
    </row>
    <row r="4">
      <c r="A4" t="n">
        <v>3</v>
      </c>
      <c r="B4" t="inlineStr">
        <is>
          <t>Wi-Fi Network</t>
        </is>
      </c>
      <c r="C4" t="inlineStr">
        <is>
          <t>Unauthorized Access</t>
        </is>
      </c>
      <c r="D4" t="inlineStr">
        <is>
          <t>Default password</t>
        </is>
      </c>
      <c r="E4" t="inlineStr">
        <is>
          <t>3 - Likely</t>
        </is>
      </c>
      <c r="F4" t="inlineStr">
        <is>
          <t>3 - High</t>
        </is>
      </c>
      <c r="G4">
        <f>VALUE(LEFT(E4,1))*VALUE(LEFT(F4,1))</f>
        <v/>
      </c>
      <c r="H4" t="inlineStr">
        <is>
          <t>Single Wi-Fi</t>
        </is>
      </c>
      <c r="I4" t="n">
        <v>0.15</v>
      </c>
      <c r="J4">
        <f>G4*(1-H4)</f>
        <v/>
      </c>
      <c r="K4" t="inlineStr">
        <is>
          <t>Change router creds; guest VLAN</t>
        </is>
      </c>
      <c r="L4" t="inlineStr">
        <is>
          <t>Medium</t>
        </is>
      </c>
      <c r="M4" t="inlineStr">
        <is>
          <t>Not Started</t>
        </is>
      </c>
      <c r="N4" t="inlineStr">
        <is>
          <t>Owner</t>
        </is>
      </c>
      <c r="O4" t="inlineStr"/>
      <c r="P4" t="inlineStr"/>
    </row>
    <row r="5">
      <c r="A5" t="n">
        <v>4</v>
      </c>
      <c r="B5" t="inlineStr">
        <is>
          <t>Banking Portal / Email</t>
        </is>
      </c>
      <c r="C5" t="inlineStr">
        <is>
          <t>Phishing Attack</t>
        </is>
      </c>
      <c r="D5" t="inlineStr">
        <is>
          <t>Staff unaware of phishing risks</t>
        </is>
      </c>
      <c r="E5" t="inlineStr">
        <is>
          <t>4 – Very Likely</t>
        </is>
      </c>
      <c r="F5" t="inlineStr">
        <is>
          <t>3 – High</t>
        </is>
      </c>
      <c r="G5">
        <f>VALUE(LEFT(E5,1))*VALUE(LEFT(F5,1))</f>
        <v/>
      </c>
      <c r="H5" t="inlineStr">
        <is>
          <t>Basic spam filter</t>
        </is>
      </c>
      <c r="I5" t="n">
        <v>0.15</v>
      </c>
      <c r="J5">
        <f>G5*(1-H5)</f>
        <v/>
      </c>
      <c r="K5" t="inlineStr">
        <is>
          <t>Conduct phishing awareness training</t>
        </is>
      </c>
      <c r="L5" t="inlineStr">
        <is>
          <t>High</t>
        </is>
      </c>
      <c r="M5" t="inlineStr">
        <is>
          <t>Not Started</t>
        </is>
      </c>
      <c r="N5" t="inlineStr">
        <is>
          <t>HR / IT</t>
        </is>
      </c>
      <c r="O5" t="inlineStr"/>
      <c r="P5" t="inlineStr"/>
    </row>
    <row r="6">
      <c r="A6" t="n">
        <v>5</v>
      </c>
      <c r="B6" t="inlineStr">
        <is>
          <t>POS System</t>
        </is>
      </c>
      <c r="C6" t="inlineStr">
        <is>
          <t>Malware Infection</t>
        </is>
      </c>
      <c r="D6" t="inlineStr">
        <is>
          <t>No endpoint protection on POS</t>
        </is>
      </c>
      <c r="E6" t="inlineStr">
        <is>
          <t>3 – Likely</t>
        </is>
      </c>
      <c r="F6" t="inlineStr">
        <is>
          <t>4 – Critical</t>
        </is>
      </c>
      <c r="G6">
        <f>VALUE(LEFT(E6,1))*VALUE(LEFT(F6,1))</f>
        <v/>
      </c>
      <c r="H6" t="inlineStr">
        <is>
          <t>Limited antivirus</t>
        </is>
      </c>
      <c r="I6" t="n">
        <v>0.1</v>
      </c>
      <c r="J6">
        <f>G6*(1-H6)</f>
        <v/>
      </c>
      <c r="K6" t="inlineStr">
        <is>
          <t>Deploy enterprise-grade antivirus on POS terminals</t>
        </is>
      </c>
      <c r="L6" t="inlineStr">
        <is>
          <t>High</t>
        </is>
      </c>
      <c r="M6" t="inlineStr">
        <is>
          <t>In Progress</t>
        </is>
      </c>
      <c r="N6" t="inlineStr">
        <is>
          <t>IT Support</t>
        </is>
      </c>
      <c r="O6" t="inlineStr"/>
      <c r="P6" t="inlineStr"/>
    </row>
    <row r="7">
      <c r="A7" t="n">
        <v>6</v>
      </c>
      <c r="B7" t="inlineStr">
        <is>
          <t>CCTV / Security System</t>
        </is>
      </c>
      <c r="C7" t="inlineStr">
        <is>
          <t>Physical Tampering</t>
        </is>
      </c>
      <c r="D7" t="inlineStr">
        <is>
          <t>No password protection on CCTV DVR</t>
        </is>
      </c>
      <c r="E7" t="inlineStr">
        <is>
          <t>3 – Likely</t>
        </is>
      </c>
      <c r="F7" t="inlineStr">
        <is>
          <t>3 – High</t>
        </is>
      </c>
      <c r="G7">
        <f>VALUE(LEFT(E7,1))*VALUE(LEFT(F7,1))</f>
        <v/>
      </c>
      <c r="H7" t="inlineStr">
        <is>
          <t>Default configuration</t>
        </is>
      </c>
      <c r="I7" t="n">
        <v>0.2</v>
      </c>
      <c r="J7">
        <f>G7*(1-H7)</f>
        <v/>
      </c>
      <c r="K7" t="inlineStr">
        <is>
          <t>Set strong passwords; restrict physical access</t>
        </is>
      </c>
      <c r="L7" t="inlineStr">
        <is>
          <t>Medium</t>
        </is>
      </c>
      <c r="M7" t="inlineStr">
        <is>
          <t>Not Started</t>
        </is>
      </c>
      <c r="N7" t="inlineStr">
        <is>
          <t>Security</t>
        </is>
      </c>
      <c r="O7" t="inlineStr"/>
      <c r="P7" t="inlineStr"/>
    </row>
    <row r="8">
      <c r="A8" t="n">
        <v>7</v>
      </c>
      <c r="B8" t="inlineStr">
        <is>
          <t>Wi-Fi Network / POS</t>
        </is>
      </c>
      <c r="C8" t="inlineStr">
        <is>
          <t>Data Interception</t>
        </is>
      </c>
      <c r="D8" t="inlineStr">
        <is>
          <t>Unencrypted data transmission</t>
        </is>
      </c>
      <c r="E8" t="inlineStr">
        <is>
          <t>4 – Very Likely</t>
        </is>
      </c>
      <c r="F8" t="inlineStr">
        <is>
          <t>4 – Critical</t>
        </is>
      </c>
      <c r="G8">
        <f>VALUE(LEFT(E8,1))*VALUE(LEFT(F8,1))</f>
        <v/>
      </c>
      <c r="H8" t="inlineStr">
        <is>
          <t>WPA2 only</t>
        </is>
      </c>
      <c r="I8" t="n">
        <v>0.1</v>
      </c>
      <c r="J8">
        <f>G8*(1-H8)</f>
        <v/>
      </c>
      <c r="K8" t="inlineStr">
        <is>
          <t>Upgrade to WPA3; use VPN for POS traffic</t>
        </is>
      </c>
      <c r="L8" t="inlineStr">
        <is>
          <t>High</t>
        </is>
      </c>
      <c r="M8" t="inlineStr">
        <is>
          <t>Not Started</t>
        </is>
      </c>
      <c r="N8" t="inlineStr">
        <is>
          <t>Network Admin</t>
        </is>
      </c>
      <c r="O8" t="inlineStr"/>
      <c r="P8" t="inlineStr"/>
    </row>
    <row r="9">
      <c r="A9" t="n">
        <v>8</v>
      </c>
      <c r="B9" t="inlineStr">
        <is>
          <t>Staff Laptops</t>
        </is>
      </c>
      <c r="C9" t="inlineStr">
        <is>
          <t>Data Loss / Theft</t>
        </is>
      </c>
      <c r="D9" t="inlineStr">
        <is>
          <t>No device encryption or backup policy</t>
        </is>
      </c>
      <c r="E9" t="inlineStr">
        <is>
          <t>3 – Likely</t>
        </is>
      </c>
      <c r="F9" t="inlineStr">
        <is>
          <t>4 – Critical</t>
        </is>
      </c>
      <c r="G9">
        <f>VALUE(LEFT(E9,1))*VALUE(LEFT(F9,1))</f>
        <v/>
      </c>
      <c r="H9" t="inlineStr">
        <is>
          <t>Password-only protection</t>
        </is>
      </c>
      <c r="I9" t="n">
        <v>0.1</v>
      </c>
      <c r="J9">
        <f>G9*(1-H9)</f>
        <v/>
      </c>
      <c r="K9" t="inlineStr">
        <is>
          <t>Implement encryption and cloud backup policy</t>
        </is>
      </c>
      <c r="L9" t="inlineStr">
        <is>
          <t>High</t>
        </is>
      </c>
      <c r="M9" t="inlineStr">
        <is>
          <t>Planned</t>
        </is>
      </c>
      <c r="N9" t="inlineStr">
        <is>
          <t>IT Admin</t>
        </is>
      </c>
      <c r="O9" t="inlineStr"/>
      <c r="P9" t="inlineStr"/>
    </row>
    <row r="10">
      <c r="A10" t="n">
        <v>9</v>
      </c>
      <c r="B10" t="inlineStr">
        <is>
          <t>Email / Admin Panel</t>
        </is>
      </c>
      <c r="C10" t="inlineStr">
        <is>
          <t>Privilege Escalation</t>
        </is>
      </c>
      <c r="D10" t="inlineStr">
        <is>
          <t>Excessive admin rights granted</t>
        </is>
      </c>
      <c r="E10" t="inlineStr">
        <is>
          <t>3 – Likely</t>
        </is>
      </c>
      <c r="F10" t="inlineStr">
        <is>
          <t>4 – Critical</t>
        </is>
      </c>
      <c r="G10">
        <f>VALUE(LEFT(E10,1))*VALUE(LEFT(F10,1))</f>
        <v/>
      </c>
      <c r="H10" t="inlineStr">
        <is>
          <t>Limited audit logs</t>
        </is>
      </c>
      <c r="I10" t="n">
        <v>0.1</v>
      </c>
      <c r="J10">
        <f>G10*(1-H10)</f>
        <v/>
      </c>
      <c r="K10" t="inlineStr">
        <is>
          <t>Implement role-based access control (RBAC)</t>
        </is>
      </c>
      <c r="L10" t="inlineStr">
        <is>
          <t>High</t>
        </is>
      </c>
      <c r="M10" t="inlineStr">
        <is>
          <t>Not Started</t>
        </is>
      </c>
      <c r="N10" t="inlineStr">
        <is>
          <t>System Admin</t>
        </is>
      </c>
      <c r="O10" t="inlineStr"/>
      <c r="P10" t="inlineStr"/>
    </row>
    <row r="11">
      <c r="A11" t="n">
        <v>10</v>
      </c>
      <c r="B11" t="inlineStr">
        <is>
          <t>Backup Drive / Cloud</t>
        </is>
      </c>
      <c r="C11" t="inlineStr">
        <is>
          <t>Ransomware / Data Corruption</t>
        </is>
      </c>
      <c r="D11" t="inlineStr">
        <is>
          <t>No offline/offsite backups</t>
        </is>
      </c>
      <c r="E11" t="inlineStr">
        <is>
          <t>3 – Likely</t>
        </is>
      </c>
      <c r="F11" t="inlineStr">
        <is>
          <t>4 – Critical</t>
        </is>
      </c>
      <c r="G11">
        <f>VALUE(LEFT(E11,1))*VALUE(LEFT(F11,1))</f>
        <v/>
      </c>
      <c r="H11" t="inlineStr">
        <is>
          <t>Weekly local backup</t>
        </is>
      </c>
      <c r="I11" t="n">
        <v>0.15</v>
      </c>
      <c r="J11">
        <f>G11*(1-H11)</f>
        <v/>
      </c>
      <c r="K11" t="inlineStr">
        <is>
          <t>Adopt 3-2-1 backup strategy with offsite storage</t>
        </is>
      </c>
      <c r="L11" t="inlineStr">
        <is>
          <t>High</t>
        </is>
      </c>
      <c r="M11" t="inlineStr">
        <is>
          <t>Planned</t>
        </is>
      </c>
      <c r="N11" t="inlineStr">
        <is>
          <t>IT Support</t>
        </is>
      </c>
      <c r="O11" t="inlineStr"/>
      <c r="P11" t="inlineStr"/>
    </row>
  </sheetData>
  <dataValidations count="2">
    <dataValidation sqref="E2 E3 E4 E5 E6 E7 E8 E9 E10 E11" showErrorMessage="1" showInputMessage="1" allowBlank="1" type="list">
      <formula1>"1 – Rare,2 – Unlikely,3 – Likely,4 – Very Likely,5 – Almost Certain"</formula1>
    </dataValidation>
    <dataValidation sqref="F2 F3 F4 F5 F6 F7 F8 F9 F10 F11" showErrorMessage="1" showInputMessage="1" allowBlank="1" type="list">
      <formula1>"1 – Insignificant,2 – Minor,3 – Moderate,4 – High,5 – 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2025-11-08T13:58:29Z</dcterms:created>
  <dcterms:modified xmlns:dcterms="http://purl.org/dc/terms/" xmlns:xsi="http://www.w3.org/2001/XMLSchema-instance" xsi:type="dcterms:W3CDTF">2025-11-08T13:58:29Z</dcterms:modified>
</cp:coreProperties>
</file>