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3438b1cd135ee6/Desktop/CyberRiskFramework_Project/data/"/>
    </mc:Choice>
  </mc:AlternateContent>
  <xr:revisionPtr revIDLastSave="14" documentId="11_6973E62728D01DA2E09AEFC54969A6F3E3B99863" xr6:coauthVersionLast="47" xr6:coauthVersionMax="47" xr10:uidLastSave="{83C450A2-7CAA-477B-9FC2-6AA0E343B4EA}"/>
  <bookViews>
    <workbookView xWindow="-108" yWindow="-108" windowWidth="23256" windowHeight="13896" xr2:uid="{00000000-000D-0000-FFFF-FFFF00000000}"/>
  </bookViews>
  <sheets>
    <sheet name="Risk Register" sheetId="1" r:id="rId1"/>
    <sheet name="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J4" i="1" s="1"/>
  <c r="L4" i="1" s="1"/>
  <c r="G3" i="1"/>
  <c r="J3" i="1" s="1"/>
  <c r="L3" i="1" s="1"/>
  <c r="J2" i="1"/>
  <c r="L2" i="1" s="1"/>
</calcChain>
</file>

<file path=xl/sharedStrings.xml><?xml version="1.0" encoding="utf-8"?>
<sst xmlns="http://schemas.openxmlformats.org/spreadsheetml/2006/main" count="64" uniqueCount="49">
  <si>
    <t>ID</t>
  </si>
  <si>
    <t>Asset</t>
  </si>
  <si>
    <t>Threat</t>
  </si>
  <si>
    <t>Vulnerability</t>
  </si>
  <si>
    <t>Likelihood</t>
  </si>
  <si>
    <t>Impact</t>
  </si>
  <si>
    <t>RawRisk</t>
  </si>
  <si>
    <t>ExistingControls</t>
  </si>
  <si>
    <t>ControlsEffectiveness</t>
  </si>
  <si>
    <t>ResidualRisk</t>
  </si>
  <si>
    <t>RecommendedAction</t>
  </si>
  <si>
    <t>Priority</t>
  </si>
  <si>
    <t>Status</t>
  </si>
  <si>
    <t>Owner</t>
  </si>
  <si>
    <t>TargetDate</t>
  </si>
  <si>
    <t>Notes</t>
  </si>
  <si>
    <t>4 - Very Likely</t>
  </si>
  <si>
    <t>3 - High</t>
  </si>
  <si>
    <t>Not Started</t>
  </si>
  <si>
    <t>Example</t>
  </si>
  <si>
    <t>POS System</t>
  </si>
  <si>
    <t>Ransomware</t>
  </si>
  <si>
    <t>Outdated software</t>
  </si>
  <si>
    <t>3 - Likely</t>
  </si>
  <si>
    <t>4 - Critical</t>
  </si>
  <si>
    <t>Basic AV</t>
  </si>
  <si>
    <t>Patch POS; backups</t>
  </si>
  <si>
    <t>IT Support</t>
  </si>
  <si>
    <t>Wi-Fi Network</t>
  </si>
  <si>
    <t>Unauthorized Access</t>
  </si>
  <si>
    <t>Default password</t>
  </si>
  <si>
    <t>Single Wi-Fi</t>
  </si>
  <si>
    <t>Change router creds; guest VLAN</t>
  </si>
  <si>
    <t>Note: Columns RawRisk, ResidualRisk and Priority are auto-calculated. Enter Likelihood as 'n - label' or as number (1-4). ControlsEffectiveness should be a decimal between 0.0 and 1.0 (e.g., 0.25 for 25%).</t>
  </si>
  <si>
    <t>1 - Rare</t>
  </si>
  <si>
    <t>1 - Low</t>
  </si>
  <si>
    <t>Low</t>
  </si>
  <si>
    <t>2 - Possible</t>
  </si>
  <si>
    <t>2 - Moderate</t>
  </si>
  <si>
    <t>In Progress</t>
  </si>
  <si>
    <t>Medium</t>
  </si>
  <si>
    <t>Completed</t>
  </si>
  <si>
    <t>High</t>
  </si>
  <si>
    <t>Critical</t>
  </si>
  <si>
    <t>owner</t>
  </si>
  <si>
    <t>None</t>
  </si>
  <si>
    <t>Create separate user accounts for staff</t>
  </si>
  <si>
    <t>Shared staff accounts</t>
  </si>
  <si>
    <t>POS System /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</si>
</sst>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D8B1"/>
          <bgColor rgb="FFFFD8B1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B3" sqref="B3"/>
    </sheetView>
  </sheetViews>
  <sheetFormatPr defaultRowHeight="14.4" x14ac:dyDescent="0.3"/>
  <cols>
    <col min="1" max="1" width="6" customWidth="1"/>
    <col min="2" max="2" width="20" customWidth="1"/>
    <col min="3" max="3" width="18" customWidth="1"/>
    <col min="4" max="4" width="22" customWidth="1"/>
    <col min="5" max="5" width="14" customWidth="1"/>
    <col min="6" max="6" width="12" customWidth="1"/>
    <col min="7" max="7" width="10" customWidth="1"/>
    <col min="8" max="8" width="25" customWidth="1"/>
    <col min="9" max="9" width="18" customWidth="1"/>
    <col min="10" max="10" width="14" customWidth="1"/>
    <col min="11" max="11" width="28" customWidth="1"/>
    <col min="12" max="12" width="12" customWidth="1"/>
    <col min="13" max="13" width="18" customWidth="1"/>
    <col min="14" max="14" width="16" customWidth="1"/>
    <col min="15" max="15" width="14" customWidth="1"/>
    <col min="16" max="16" width="3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1</v>
      </c>
      <c r="B2" s="2" t="s">
        <v>48</v>
      </c>
      <c r="C2" s="2" t="s">
        <v>29</v>
      </c>
      <c r="D2" s="2" t="s">
        <v>47</v>
      </c>
      <c r="E2" s="2" t="s">
        <v>23</v>
      </c>
      <c r="F2" s="2" t="s">
        <v>17</v>
      </c>
      <c r="G2" s="2"/>
      <c r="H2" s="2" t="s">
        <v>45</v>
      </c>
      <c r="I2" s="2">
        <v>0</v>
      </c>
      <c r="J2" s="2" t="str">
        <f>IF(AND(ISNUMBER(G2),ISNUMBER(I2)),G2*(1-I2),"")</f>
        <v/>
      </c>
      <c r="K2" s="2" t="s">
        <v>46</v>
      </c>
      <c r="L2" s="2" t="str">
        <f>IF( J2="","", IF( J2&gt;=13,"Critical", IF(J2&gt;=9,"High", IF(J2&gt;=5,"Medium","Low" ) ) ) )</f>
        <v/>
      </c>
      <c r="M2" s="2" t="s">
        <v>18</v>
      </c>
      <c r="N2" s="2" t="s">
        <v>44</v>
      </c>
      <c r="O2" s="2"/>
      <c r="P2" s="2" t="s">
        <v>19</v>
      </c>
    </row>
    <row r="3" spans="1:16" x14ac:dyDescent="0.3">
      <c r="A3" s="2">
        <v>2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f>IF(AND(ISNUMBER(E3),ISNUMBER(F3)),E3*F3,IF(AND(ISNUMBER(VALUE(LEFT(E3,1))),ISNUMBER(VALUE(LEFT(F3,1)))),VALUE(LEFT(E3,1))*VALUE(LEFT(F3,1)),"") )</f>
        <v>12</v>
      </c>
      <c r="H3" s="2" t="s">
        <v>25</v>
      </c>
      <c r="I3" s="2">
        <v>0.1</v>
      </c>
      <c r="J3" s="2">
        <f>IF(AND(ISNUMBER(G3),ISNUMBER(I3)),G3*(1-I3),"")</f>
        <v>10.8</v>
      </c>
      <c r="K3" s="2" t="s">
        <v>26</v>
      </c>
      <c r="L3" s="2" t="str">
        <f>IF( J3="","", IF( J3&gt;=13,"Critical", IF(J3&gt;=9,"High", IF(J3&gt;=5,"Medium","Low" ) ) ) )</f>
        <v>High</v>
      </c>
      <c r="M3" s="2" t="s">
        <v>18</v>
      </c>
      <c r="N3" s="2" t="s">
        <v>27</v>
      </c>
      <c r="O3" s="2"/>
      <c r="P3" s="2"/>
    </row>
    <row r="4" spans="1:16" x14ac:dyDescent="0.3">
      <c r="A4" s="2">
        <v>3</v>
      </c>
      <c r="B4" s="2" t="s">
        <v>28</v>
      </c>
      <c r="C4" s="2" t="s">
        <v>29</v>
      </c>
      <c r="D4" s="2" t="s">
        <v>30</v>
      </c>
      <c r="E4" s="2" t="s">
        <v>23</v>
      </c>
      <c r="F4" s="2" t="s">
        <v>17</v>
      </c>
      <c r="G4" s="2">
        <f>IF(AND(ISNUMBER(E4),ISNUMBER(F4)),E4*F4,IF(AND(ISNUMBER(VALUE(LEFT(E4,1))),ISNUMBER(VALUE(LEFT(F4,1)))),VALUE(LEFT(E4,1))*VALUE(LEFT(F4,1)),"") )</f>
        <v>9</v>
      </c>
      <c r="H4" s="2" t="s">
        <v>31</v>
      </c>
      <c r="I4" s="2">
        <v>0.15</v>
      </c>
      <c r="J4" s="2">
        <f>IF(AND(ISNUMBER(G4),ISNUMBER(I4)),G4*(1-I4),"")</f>
        <v>7.6499999999999995</v>
      </c>
      <c r="K4" s="2" t="s">
        <v>32</v>
      </c>
      <c r="L4" s="2" t="str">
        <f>IF( J4="","", IF( J4&gt;=13,"Critical", IF(J4&gt;=9,"High", IF(J4&gt;=5,"Medium","Low" ) ) ) )</f>
        <v>Medium</v>
      </c>
      <c r="M4" s="2" t="s">
        <v>18</v>
      </c>
      <c r="N4" s="2" t="s">
        <v>13</v>
      </c>
      <c r="O4" s="2"/>
      <c r="P4" s="2"/>
    </row>
    <row r="5" spans="1:1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409.6" x14ac:dyDescent="0.3">
      <c r="A6" s="3" t="s">
        <v>33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1:1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1:1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1:1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1:1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1:1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1:1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1:1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1:1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1:1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1:1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1:1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1:1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1:1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1:1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1:1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1:1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1:1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1:1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1:1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1:1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1:1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1:1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1:1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1:1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1:1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1:1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1:1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1:1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1:1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1:1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1:1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1:1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1:1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1:1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1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1:1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1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1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1:1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1:1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1:1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1:1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1:1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1:1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1:1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1:1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1:1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1:1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1:1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1:1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1:1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1:1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1:1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1:1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1:1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1:1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1:1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1:1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1:1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1:1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1:1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1:1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1:1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1:1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1:1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1:1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1:1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1:1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1:1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1:1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1:1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1:1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1:1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1:1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1:1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1:1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1:1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1:1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1:1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1:1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1:1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1:1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1:1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1:1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1:1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1:1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1:1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1:1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1:1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1:1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1:1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1:1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1:1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1:1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1:1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1:1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1:1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1:1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1:1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1:1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1:1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1:1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1:1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1:1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1:1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1:1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1:1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1:1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1:1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1:1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1:1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1:1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1:1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1:1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1:1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1:1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1:1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1:1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1:1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1:1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1:1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1:1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1:1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1:1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1:1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1:1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1:1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1:1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1:1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1:1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1:1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1:1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1:1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1:1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1:1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1:1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1:1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1:1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1:1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1:1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1:1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1:1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spans="1:1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1:1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1:1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1:1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spans="1:1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1:1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1:1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1:1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1:1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1:1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1:1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1:1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1:1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1:1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1:1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1:1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1:1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1:1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1:1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1:1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1:1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1:1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1:1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spans="1:1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spans="1:1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1:1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spans="1:1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1:1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spans="1:1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1:1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spans="1:1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1:1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1:1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1:1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1:1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1:1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1:1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1:1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1:1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1:1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1:1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1:1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spans="1:1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1:1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spans="1:1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1:1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1:1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1:1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1:1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1:1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1:1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1:1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1:1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spans="1:1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1:1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1:1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spans="1:1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spans="1:1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spans="1:1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1:1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spans="1:1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spans="1:1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spans="1:1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spans="1:1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spans="1:1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spans="1:1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spans="1:1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1:1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spans="1:1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spans="1:1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spans="1:1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spans="1:1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spans="1:1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spans="1:1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spans="1:1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spans="1:1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spans="1:1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spans="1:1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spans="1:1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1:1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spans="1:1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spans="1:1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1:1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spans="1:1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spans="1:1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spans="1:1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spans="1:1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1:1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spans="1:1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spans="1:1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spans="1:1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spans="1:1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spans="1:1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spans="1:1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spans="1:1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1:1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1:1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spans="1:1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1:1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1:1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spans="1:1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spans="1:1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spans="1:1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spans="1:1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spans="1:1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spans="1:1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spans="1:1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1:1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spans="1:1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spans="1:1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spans="1:1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spans="1:1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spans="1:1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spans="1:1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spans="1:1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spans="1:1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spans="1:1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spans="1:1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spans="1:1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spans="1:1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spans="1:1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spans="1:1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spans="1:1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spans="1:1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spans="1:1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spans="1:1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1:1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1:1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spans="1:1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spans="1:1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spans="1:1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spans="1:1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spans="1:1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spans="1:1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spans="1:1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spans="1:1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spans="1:1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spans="1:1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spans="1:1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spans="1:1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spans="1:1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spans="1:1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spans="1:1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spans="1:1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spans="1:1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spans="1:1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spans="1:1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spans="1:1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spans="1:1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spans="1:1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spans="1:1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spans="1:1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spans="1:1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spans="1:1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spans="1:1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1:1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1:1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spans="1:1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spans="1:1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spans="1:1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spans="1:1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spans="1:1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spans="1:1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spans="1:1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spans="1:1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spans="1:1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spans="1:1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spans="1:1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spans="1:1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spans="1:1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spans="1:1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spans="1:1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spans="1:1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spans="1:1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spans="1:1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spans="1:1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spans="1:1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spans="1:1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spans="1:1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spans="1:1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spans="1:1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spans="1:1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spans="1:1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1:1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1:1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sheetProtection password="8CED" sheet="1"/>
  <conditionalFormatting sqref="A2:P1000">
    <cfRule type="expression" dxfId="3" priority="1" stopIfTrue="1">
      <formula>$L2="Critical"</formula>
    </cfRule>
    <cfRule type="expression" dxfId="2" priority="2" stopIfTrue="1">
      <formula>$L2="High"</formula>
    </cfRule>
    <cfRule type="expression" dxfId="1" priority="3" stopIfTrue="1">
      <formula>$L2="Medium"</formula>
    </cfRule>
    <cfRule type="expression" dxfId="0" priority="4" stopIfTrue="1">
      <formula>$L2="Low"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Lists!$A$2:$A$5</xm:f>
          </x14:formula1>
          <xm:sqref>E2:E1000</xm:sqref>
        </x14:dataValidation>
        <x14:dataValidation type="list" allowBlank="1" showInputMessage="1" showErrorMessage="1" xr:uid="{00000000-0002-0000-0000-000001000000}">
          <x14:formula1>
            <xm:f>Lists!$B$2:$B$5</xm:f>
          </x14:formula1>
          <xm:sqref>F2:F1000</xm:sqref>
        </x14:dataValidation>
        <x14:dataValidation type="list" allowBlank="1" showInputMessage="1" showErrorMessage="1" xr:uid="{00000000-0002-0000-0000-000002000000}">
          <x14:formula1>
            <xm:f>Lists!$C$2:$C$4</xm:f>
          </x14:formula1>
          <xm:sqref>M2:M1000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sheetData>
    <row r="1" spans="1:4" x14ac:dyDescent="0.3">
      <c r="A1" t="s">
        <v>4</v>
      </c>
      <c r="B1" t="s">
        <v>5</v>
      </c>
      <c r="C1" t="s">
        <v>12</v>
      </c>
      <c r="D1" t="s">
        <v>11</v>
      </c>
    </row>
    <row r="2" spans="1:4" x14ac:dyDescent="0.3">
      <c r="A2" t="s">
        <v>34</v>
      </c>
      <c r="B2" t="s">
        <v>35</v>
      </c>
      <c r="C2" t="s">
        <v>18</v>
      </c>
      <c r="D2" t="s">
        <v>36</v>
      </c>
    </row>
    <row r="3" spans="1:4" x14ac:dyDescent="0.3">
      <c r="A3" t="s">
        <v>37</v>
      </c>
      <c r="B3" t="s">
        <v>38</v>
      </c>
      <c r="C3" t="s">
        <v>39</v>
      </c>
      <c r="D3" t="s">
        <v>40</v>
      </c>
    </row>
    <row r="4" spans="1:4" x14ac:dyDescent="0.3">
      <c r="A4" t="s">
        <v>23</v>
      </c>
      <c r="B4" t="s">
        <v>17</v>
      </c>
      <c r="C4" t="s">
        <v>41</v>
      </c>
      <c r="D4" t="s">
        <v>42</v>
      </c>
    </row>
    <row r="5" spans="1:4" x14ac:dyDescent="0.3">
      <c r="A5" t="s">
        <v>16</v>
      </c>
      <c r="B5" t="s">
        <v>24</v>
      </c>
      <c r="D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sanjibani paul</cp:lastModifiedBy>
  <dcterms:created xsi:type="dcterms:W3CDTF">2025-11-07T09:56:35Z</dcterms:created>
  <dcterms:modified xsi:type="dcterms:W3CDTF">2025-11-08T13:49:52Z</dcterms:modified>
</cp:coreProperties>
</file>